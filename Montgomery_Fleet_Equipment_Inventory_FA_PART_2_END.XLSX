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n\Downloads\"/>
    </mc:Choice>
  </mc:AlternateContent>
  <xr:revisionPtr revIDLastSave="0" documentId="8_{FBC25B5E-83F0-435B-AD82-3D01E711BF00}" xr6:coauthVersionLast="47" xr6:coauthVersionMax="47" xr10:uidLastSave="{00000000-0000-0000-0000-000000000000}"/>
  <bookViews>
    <workbookView xWindow="750" yWindow="4050" windowWidth="21600" windowHeight="11835" xr2:uid="{00000000-000D-0000-FFFF-FFFF00000000}"/>
  </bookViews>
  <sheets>
    <sheet name="Montgomery_Fleet_Equipment_Inve" sheetId="1" r:id="rId1"/>
    <sheet name="Montgomery_Fleet_Equipment_ (2)" sheetId="4" r:id="rId2"/>
    <sheet name="Montgomery_Fleet_Equipment_ (3)" sheetId="5" r:id="rId3"/>
  </sheets>
  <definedNames>
    <definedName name="_xlnm._FilterDatabase" localSheetId="1" hidden="1">'Montgomery_Fleet_Equipment_ (2)'!#REF!</definedName>
    <definedName name="_xlnm._FilterDatabase" localSheetId="2" hidden="1">'Montgomery_Fleet_Equipment_ (3)'!#REF!</definedName>
    <definedName name="_xlnm._FilterDatabase" localSheetId="0" hidden="1">Montgomery_Fleet_Equipment_Inve!$A$1:$C$50</definedName>
  </definedNames>
  <calcPr calcId="191029"/>
  <pivotCaches>
    <pivotCache cacheId="2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<sst xmlns="http://schemas.openxmlformats.org/spreadsheetml/2006/main" count="180" uniqueCount="42">
  <si>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</si>
  <si>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</si>
  <si>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</si>
  <si>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</si>
  <si>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</si>
  <si>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</si>
  <si>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</si>
  <si>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</si>
  <si>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</si>
  <si>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</si>
  <si>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</si>
  <si>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</si>
  <si>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</si>
  <si>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</si>
  <si>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</si>
  <si>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</si>
  <si>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</si>
  <si>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</si>
  <si>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</si>
  <si>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</si>
  <si>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</si>
  <si>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</si>
  <si>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</si>
  <si>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</si>
  <si>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</si>
  <si>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</si>
  <si>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</si>
  <si>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</si>
  <si>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</si>
  <si>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Column1</t>
  </si>
  <si>
    <t>Sum</t>
  </si>
  <si>
    <t>Average</t>
  </si>
  <si>
    <t>Running Total</t>
  </si>
  <si>
    <t>Count</t>
  </si>
  <si>
    <t>Sum of Equipment Count</t>
  </si>
  <si>
    <t>Row Labels</t>
  </si>
  <si>
    <t>Grand Total</t>
  </si>
  <si>
    <t>SUM</t>
  </si>
  <si>
    <t>MIN</t>
  </si>
  <si>
    <t>MAX</t>
  </si>
  <si>
    <t>COUNT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</si>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</sst>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iah Wright" refreshedDate="45545.692553819441" createdVersion="8" refreshedVersion="8" minRefreshableVersion="3" recordCount="49" xr:uid="{8EADBA16-5EC0-4681-A385-4A45513D326E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58420-853F-4A14-89A5-DA51C6093C2E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14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2F8A2-08FF-4EA4-9F7A-5F5808EED22E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3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25ED0-9A79-46B7-A0B7-7B70EB913805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9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E5314B-E1ED-4978-B71A-C3D831B15A65}" name="Table2" displayName="Table2" ref="A1:C50" totalsRowShown="0">
  <autoFilter ref="A1:C50" xr:uid="{00E5314B-E1ED-4978-B71A-C3D831B15A65}"/>
  <tableColumns count="3">
    <tableColumn id="1" xr3:uid="{017E4EC9-7807-4026-BDA9-4BC021D6BF8C}" name="Department"/>
    <tableColumn id="2" xr3:uid="{C6568DBF-4A57-444D-9007-19C9754C6387}" name="Equipment Class"/>
    <tableColumn id="3" xr3:uid="{EF06A3B3-D722-4B81-A520-0B3CA5D52839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43" zoomScaleNormal="100" workbookViewId="0">
      <selection activeCell="B55" sqref="B55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4" max="4" width="29.42578125" bestFit="1" customWidth="1"/>
    <col min="5" max="5" width="23.42578125" bestFit="1" customWidth="1"/>
    <col min="6" max="6" width="3" bestFit="1" customWidth="1"/>
    <col min="7" max="8" width="2" bestFit="1" customWidth="1"/>
    <col min="9" max="9" width="3" bestFit="1" customWidth="1"/>
    <col min="10" max="13" width="2" bestFit="1" customWidth="1"/>
    <col min="14" max="28" width="3" bestFit="1" customWidth="1"/>
    <col min="29" max="31" width="4" bestFit="1" customWidth="1"/>
    <col min="32" max="32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35</v>
      </c>
      <c r="E1" t="s">
        <v>34</v>
      </c>
    </row>
    <row r="2" spans="1:5" x14ac:dyDescent="0.25">
      <c r="A2" t="s">
        <v>5</v>
      </c>
      <c r="B2" t="s">
        <v>6</v>
      </c>
      <c r="C2">
        <v>21</v>
      </c>
      <c r="D2" s="3" t="s">
        <v>26</v>
      </c>
      <c r="E2" s="1">
        <v>1221</v>
      </c>
    </row>
    <row r="3" spans="1:5" x14ac:dyDescent="0.25">
      <c r="A3" t="s">
        <v>5</v>
      </c>
      <c r="B3" t="s">
        <v>7</v>
      </c>
      <c r="C3">
        <v>1</v>
      </c>
      <c r="D3" s="3" t="s">
        <v>15</v>
      </c>
      <c r="E3" s="1">
        <v>109</v>
      </c>
    </row>
    <row r="4" spans="1:5" x14ac:dyDescent="0.25">
      <c r="A4" t="s">
        <v>5</v>
      </c>
      <c r="B4" t="s">
        <v>4</v>
      </c>
      <c r="C4">
        <v>23</v>
      </c>
      <c r="D4" s="3" t="s">
        <v>19</v>
      </c>
      <c r="E4" s="1">
        <v>85</v>
      </c>
    </row>
    <row r="5" spans="1:5" x14ac:dyDescent="0.25">
      <c r="A5" t="s">
        <v>8</v>
      </c>
      <c r="B5" t="s">
        <v>4</v>
      </c>
      <c r="C5">
        <v>2</v>
      </c>
      <c r="D5" s="3" t="s">
        <v>12</v>
      </c>
      <c r="E5" s="1">
        <v>56</v>
      </c>
    </row>
    <row r="6" spans="1:5" x14ac:dyDescent="0.25">
      <c r="A6" t="s">
        <v>9</v>
      </c>
      <c r="B6" t="s">
        <v>6</v>
      </c>
      <c r="C6">
        <v>3</v>
      </c>
      <c r="D6" s="3" t="s">
        <v>5</v>
      </c>
      <c r="E6" s="1">
        <v>45</v>
      </c>
    </row>
    <row r="7" spans="1:5" x14ac:dyDescent="0.25">
      <c r="A7" t="s">
        <v>9</v>
      </c>
      <c r="B7" t="s">
        <v>10</v>
      </c>
      <c r="C7">
        <v>2</v>
      </c>
      <c r="D7" s="3" t="s">
        <v>18</v>
      </c>
      <c r="E7" s="1">
        <v>35</v>
      </c>
    </row>
    <row r="8" spans="1:5" x14ac:dyDescent="0.25">
      <c r="A8" t="s">
        <v>9</v>
      </c>
      <c r="B8" t="s">
        <v>11</v>
      </c>
      <c r="C8">
        <v>1</v>
      </c>
      <c r="D8" s="3" t="s">
        <v>25</v>
      </c>
      <c r="E8" s="1">
        <v>16</v>
      </c>
    </row>
    <row r="9" spans="1:5" x14ac:dyDescent="0.25">
      <c r="A9" t="s">
        <v>12</v>
      </c>
      <c r="B9" t="s">
        <v>10</v>
      </c>
      <c r="C9">
        <v>2</v>
      </c>
      <c r="D9" s="3" t="s">
        <v>9</v>
      </c>
      <c r="E9" s="1">
        <v>6</v>
      </c>
    </row>
    <row r="10" spans="1:5" x14ac:dyDescent="0.25">
      <c r="A10" t="s">
        <v>12</v>
      </c>
      <c r="B10" t="s">
        <v>13</v>
      </c>
      <c r="C10">
        <v>42</v>
      </c>
      <c r="D10" s="3" t="s">
        <v>24</v>
      </c>
      <c r="E10" s="1">
        <v>5</v>
      </c>
    </row>
    <row r="11" spans="1:5" x14ac:dyDescent="0.25">
      <c r="A11" t="s">
        <v>12</v>
      </c>
      <c r="B11" t="s">
        <v>7</v>
      </c>
      <c r="C11">
        <v>1</v>
      </c>
      <c r="D11" s="3" t="s">
        <v>8</v>
      </c>
      <c r="E11" s="1">
        <v>2</v>
      </c>
    </row>
    <row r="12" spans="1:5" x14ac:dyDescent="0.25">
      <c r="A12" t="s">
        <v>12</v>
      </c>
      <c r="B12" t="s">
        <v>4</v>
      </c>
      <c r="C12">
        <v>11</v>
      </c>
      <c r="D12" s="3" t="s">
        <v>14</v>
      </c>
      <c r="E12" s="1">
        <v>1</v>
      </c>
    </row>
    <row r="13" spans="1:5" x14ac:dyDescent="0.25">
      <c r="A13" t="s">
        <v>14</v>
      </c>
      <c r="B13" t="s">
        <v>7</v>
      </c>
      <c r="C13">
        <v>1</v>
      </c>
      <c r="D13" s="3" t="s">
        <v>17</v>
      </c>
      <c r="E13" s="1">
        <v>1</v>
      </c>
    </row>
    <row r="14" spans="1:5" x14ac:dyDescent="0.25">
      <c r="A14" t="s">
        <v>15</v>
      </c>
      <c r="B14" t="s">
        <v>16</v>
      </c>
      <c r="C14">
        <v>9</v>
      </c>
      <c r="D14" s="3" t="s">
        <v>36</v>
      </c>
      <c r="E14" s="1">
        <v>1582</v>
      </c>
    </row>
    <row r="15" spans="1:5" x14ac:dyDescent="0.25">
      <c r="A15" t="s">
        <v>15</v>
      </c>
      <c r="B15" t="s">
        <v>7</v>
      </c>
      <c r="C15">
        <v>27</v>
      </c>
    </row>
    <row r="16" spans="1:5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1" spans="1:3" x14ac:dyDescent="0.25">
      <c r="B51" t="s">
        <v>37</v>
      </c>
      <c r="C51">
        <f>SUM(Table2[Equipment Count])</f>
        <v>1582</v>
      </c>
    </row>
    <row r="52" spans="1:3" x14ac:dyDescent="0.25">
      <c r="B52" t="s">
        <v>38</v>
      </c>
      <c r="C52">
        <f>MIN(Table2[Equipment Count])</f>
        <v>1</v>
      </c>
    </row>
    <row r="53" spans="1:3" x14ac:dyDescent="0.25">
      <c r="B53" t="s">
        <v>39</v>
      </c>
      <c r="C53">
        <f>MAX(Table2[Equipment Count])</f>
        <v>379</v>
      </c>
    </row>
    <row r="54" spans="1:3" x14ac:dyDescent="0.25">
      <c r="B54" t="s">
        <v>40</v>
      </c>
      <c r="C54">
        <f>COUNT(Table2[Equipment Count])</f>
        <v>49</v>
      </c>
    </row>
    <row r="55" spans="1:3" x14ac:dyDescent="0.25">
      <c r="B55" t="s">
        <v>41</v>
      </c>
      <c r="C55">
        <f>AVERAGE(Table2[Equipment Count])</f>
        <v>32.285714285714285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F28F-605A-4D33-B68A-B0F5023E5D57}">
  <dimension ref="A1:B23"/>
  <sheetViews>
    <sheetView zoomScaleNormal="100" workbookViewId="0">
      <selection activeCell="C1" sqref="A1:C1048576"/>
    </sheetView>
  </sheetViews>
  <sheetFormatPr defaultRowHeight="15" x14ac:dyDescent="0.25"/>
  <cols>
    <col min="1" max="1" width="31.28515625" bestFit="1" customWidth="1"/>
    <col min="2" max="2" width="23.42578125" bestFit="1" customWidth="1"/>
    <col min="3" max="3" width="3" bestFit="1" customWidth="1"/>
    <col min="4" max="5" width="2" bestFit="1" customWidth="1"/>
    <col min="6" max="6" width="3" bestFit="1" customWidth="1"/>
    <col min="7" max="10" width="2" bestFit="1" customWidth="1"/>
    <col min="11" max="25" width="3" bestFit="1" customWidth="1"/>
    <col min="26" max="28" width="4" bestFit="1" customWidth="1"/>
    <col min="29" max="29" width="11.28515625" bestFit="1" customWidth="1"/>
  </cols>
  <sheetData>
    <row r="1" spans="1:2" x14ac:dyDescent="0.25">
      <c r="A1" s="2" t="s">
        <v>35</v>
      </c>
      <c r="B1" t="s">
        <v>34</v>
      </c>
    </row>
    <row r="2" spans="1:2" x14ac:dyDescent="0.25">
      <c r="A2" s="3" t="s">
        <v>26</v>
      </c>
      <c r="B2" s="1">
        <v>1221</v>
      </c>
    </row>
    <row r="3" spans="1:2" x14ac:dyDescent="0.25">
      <c r="A3" s="4" t="s">
        <v>16</v>
      </c>
      <c r="B3" s="1">
        <v>5</v>
      </c>
    </row>
    <row r="4" spans="1:2" x14ac:dyDescent="0.25">
      <c r="A4" s="4" t="s">
        <v>13</v>
      </c>
      <c r="B4" s="1">
        <v>248</v>
      </c>
    </row>
    <row r="5" spans="1:2" x14ac:dyDescent="0.25">
      <c r="A5" s="4" t="s">
        <v>11</v>
      </c>
      <c r="B5" s="1">
        <v>98</v>
      </c>
    </row>
    <row r="6" spans="1:2" x14ac:dyDescent="0.25">
      <c r="A6" s="4" t="s">
        <v>28</v>
      </c>
      <c r="B6" s="1">
        <v>276</v>
      </c>
    </row>
    <row r="7" spans="1:2" x14ac:dyDescent="0.25">
      <c r="A7" s="4" t="s">
        <v>6</v>
      </c>
      <c r="B7" s="1">
        <v>93</v>
      </c>
    </row>
    <row r="8" spans="1:2" x14ac:dyDescent="0.25">
      <c r="A8" s="4" t="s">
        <v>4</v>
      </c>
      <c r="B8" s="1">
        <v>37</v>
      </c>
    </row>
    <row r="9" spans="1:2" x14ac:dyDescent="0.25">
      <c r="A9" s="4" t="s">
        <v>7</v>
      </c>
      <c r="B9" s="1">
        <v>53</v>
      </c>
    </row>
    <row r="10" spans="1:2" x14ac:dyDescent="0.25">
      <c r="A10" s="4" t="s">
        <v>27</v>
      </c>
      <c r="B10" s="1">
        <v>379</v>
      </c>
    </row>
    <row r="11" spans="1:2" x14ac:dyDescent="0.25">
      <c r="A11" s="4" t="s">
        <v>10</v>
      </c>
      <c r="B11" s="1">
        <v>32</v>
      </c>
    </row>
    <row r="12" spans="1:2" x14ac:dyDescent="0.25">
      <c r="A12" s="3" t="s">
        <v>15</v>
      </c>
      <c r="B12" s="1">
        <v>109</v>
      </c>
    </row>
    <row r="13" spans="1:2" x14ac:dyDescent="0.25">
      <c r="A13" s="3" t="s">
        <v>19</v>
      </c>
      <c r="B13" s="1">
        <v>85</v>
      </c>
    </row>
    <row r="14" spans="1:2" x14ac:dyDescent="0.25">
      <c r="A14" s="3" t="s">
        <v>12</v>
      </c>
      <c r="B14" s="1">
        <v>56</v>
      </c>
    </row>
    <row r="15" spans="1:2" x14ac:dyDescent="0.25">
      <c r="A15" s="3" t="s">
        <v>5</v>
      </c>
      <c r="B15" s="1">
        <v>45</v>
      </c>
    </row>
    <row r="16" spans="1:2" x14ac:dyDescent="0.25">
      <c r="A16" s="3" t="s">
        <v>18</v>
      </c>
      <c r="B16" s="1">
        <v>35</v>
      </c>
    </row>
    <row r="17" spans="1:2" x14ac:dyDescent="0.25">
      <c r="A17" s="3" t="s">
        <v>25</v>
      </c>
      <c r="B17" s="1">
        <v>16</v>
      </c>
    </row>
    <row r="18" spans="1:2" x14ac:dyDescent="0.25">
      <c r="A18" s="3" t="s">
        <v>9</v>
      </c>
      <c r="B18" s="1">
        <v>6</v>
      </c>
    </row>
    <row r="19" spans="1:2" x14ac:dyDescent="0.25">
      <c r="A19" s="3" t="s">
        <v>24</v>
      </c>
      <c r="B19" s="1">
        <v>5</v>
      </c>
    </row>
    <row r="20" spans="1:2" x14ac:dyDescent="0.25">
      <c r="A20" s="3" t="s">
        <v>8</v>
      </c>
      <c r="B20" s="1">
        <v>2</v>
      </c>
    </row>
    <row r="21" spans="1:2" x14ac:dyDescent="0.25">
      <c r="A21" s="3" t="s">
        <v>14</v>
      </c>
      <c r="B21" s="1">
        <v>1</v>
      </c>
    </row>
    <row r="22" spans="1:2" x14ac:dyDescent="0.25">
      <c r="A22" s="3" t="s">
        <v>17</v>
      </c>
      <c r="B22" s="1">
        <v>1</v>
      </c>
    </row>
    <row r="23" spans="1:2" x14ac:dyDescent="0.25">
      <c r="A23" s="3" t="s">
        <v>36</v>
      </c>
      <c r="B23" s="1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D4DA-C75C-41C2-A4BD-B9BB3B14A8D2}">
  <dimension ref="A1:B19"/>
  <sheetViews>
    <sheetView zoomScaleNormal="100" workbookViewId="0">
      <selection activeCell="C1" sqref="A1:C1048576"/>
    </sheetView>
  </sheetViews>
  <sheetFormatPr defaultRowHeight="15" x14ac:dyDescent="0.25"/>
  <cols>
    <col min="1" max="1" width="28.42578125" bestFit="1" customWidth="1"/>
    <col min="2" max="2" width="23.42578125" bestFit="1" customWidth="1"/>
    <col min="3" max="3" width="3" bestFit="1" customWidth="1"/>
    <col min="4" max="5" width="2" bestFit="1" customWidth="1"/>
    <col min="6" max="6" width="3" bestFit="1" customWidth="1"/>
    <col min="7" max="10" width="2" bestFit="1" customWidth="1"/>
    <col min="11" max="25" width="3" bestFit="1" customWidth="1"/>
    <col min="26" max="28" width="4" bestFit="1" customWidth="1"/>
    <col min="29" max="29" width="11.28515625" bestFit="1" customWidth="1"/>
  </cols>
  <sheetData>
    <row r="1" spans="1:2" x14ac:dyDescent="0.25">
      <c r="A1" s="2" t="s">
        <v>35</v>
      </c>
      <c r="B1" t="s">
        <v>34</v>
      </c>
    </row>
    <row r="2" spans="1:2" x14ac:dyDescent="0.25">
      <c r="A2" s="3" t="s">
        <v>16</v>
      </c>
      <c r="B2" s="1">
        <v>15</v>
      </c>
    </row>
    <row r="3" spans="1:2" x14ac:dyDescent="0.25">
      <c r="A3" s="4" t="s">
        <v>15</v>
      </c>
      <c r="B3" s="1">
        <v>9</v>
      </c>
    </row>
    <row r="4" spans="1:2" x14ac:dyDescent="0.25">
      <c r="A4" s="4" t="s">
        <v>26</v>
      </c>
      <c r="B4" s="1">
        <v>5</v>
      </c>
    </row>
    <row r="5" spans="1:2" x14ac:dyDescent="0.25">
      <c r="A5" s="4" t="s">
        <v>25</v>
      </c>
      <c r="B5" s="1">
        <v>1</v>
      </c>
    </row>
    <row r="6" spans="1:2" x14ac:dyDescent="0.25">
      <c r="A6" s="3" t="s">
        <v>13</v>
      </c>
      <c r="B6" s="1">
        <v>290</v>
      </c>
    </row>
    <row r="7" spans="1:2" x14ac:dyDescent="0.25">
      <c r="A7" s="3" t="s">
        <v>11</v>
      </c>
      <c r="B7" s="1">
        <v>100</v>
      </c>
    </row>
    <row r="8" spans="1:2" x14ac:dyDescent="0.25">
      <c r="A8" s="3" t="s">
        <v>28</v>
      </c>
      <c r="B8" s="1">
        <v>283</v>
      </c>
    </row>
    <row r="9" spans="1:2" x14ac:dyDescent="0.25">
      <c r="A9" s="3" t="s">
        <v>6</v>
      </c>
      <c r="B9" s="1">
        <v>150</v>
      </c>
    </row>
    <row r="10" spans="1:2" x14ac:dyDescent="0.25">
      <c r="A10" s="3" t="s">
        <v>21</v>
      </c>
      <c r="B10" s="1">
        <v>4</v>
      </c>
    </row>
    <row r="11" spans="1:2" x14ac:dyDescent="0.25">
      <c r="A11" s="3" t="s">
        <v>23</v>
      </c>
      <c r="B11" s="1">
        <v>1</v>
      </c>
    </row>
    <row r="12" spans="1:2" x14ac:dyDescent="0.25">
      <c r="A12" s="3" t="s">
        <v>22</v>
      </c>
      <c r="B12" s="1">
        <v>47</v>
      </c>
    </row>
    <row r="13" spans="1:2" x14ac:dyDescent="0.25">
      <c r="A13" s="3" t="s">
        <v>3</v>
      </c>
      <c r="B13" s="1">
        <v>20</v>
      </c>
    </row>
    <row r="14" spans="1:2" x14ac:dyDescent="0.25">
      <c r="A14" s="3" t="s">
        <v>20</v>
      </c>
      <c r="B14" s="1">
        <v>8</v>
      </c>
    </row>
    <row r="15" spans="1:2" x14ac:dyDescent="0.25">
      <c r="A15" s="3" t="s">
        <v>4</v>
      </c>
      <c r="B15" s="1">
        <v>130</v>
      </c>
    </row>
    <row r="16" spans="1:2" x14ac:dyDescent="0.25">
      <c r="A16" s="3" t="s">
        <v>7</v>
      </c>
      <c r="B16" s="1">
        <v>90</v>
      </c>
    </row>
    <row r="17" spans="1:2" x14ac:dyDescent="0.25">
      <c r="A17" s="3" t="s">
        <v>27</v>
      </c>
      <c r="B17" s="1">
        <v>379</v>
      </c>
    </row>
    <row r="18" spans="1:2" x14ac:dyDescent="0.25">
      <c r="A18" s="3" t="s">
        <v>10</v>
      </c>
      <c r="B18" s="1">
        <v>65</v>
      </c>
    </row>
    <row r="19" spans="1:2" x14ac:dyDescent="0.25">
      <c r="A19" s="3" t="s">
        <v>36</v>
      </c>
      <c r="B19" s="1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Montgomery_Fleet_Equipment_Inve</vt:lpstr>
      <vt:lpstr>Montgomery_Fleet_Equipment_ (2)</vt:lpstr>
      <vt:lpstr>Montgomery_Fleet_Equipment_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Isaiah Wright</cp:lastModifiedBy>
  <dcterms:created xsi:type="dcterms:W3CDTF">2020-09-01T17:18:12Z</dcterms:created>
  <dcterms:modified xsi:type="dcterms:W3CDTF">2024-09-10T20:47:08Z</dcterms:modified>
</cp:coreProperties>
</file>